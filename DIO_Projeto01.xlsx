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zequic\Desktop\"/>
    </mc:Choice>
  </mc:AlternateContent>
  <bookViews>
    <workbookView xWindow="0" yWindow="0" windowWidth="24000" windowHeight="9890" tabRatio="209"/>
  </bookViews>
  <sheets>
    <sheet name="APP" sheetId="1" r:id="rId1"/>
    <sheet name="bd" sheetId="2" r:id="rId2"/>
  </sheets>
  <definedNames>
    <definedName name="aporte">APP!$D$12</definedName>
    <definedName name="patrimonio">APP!$D$15</definedName>
    <definedName name="qtd_anos">APP!$D$13</definedName>
    <definedName name="rendimento_carteira">APP!$D$8</definedName>
    <definedName name="salario">APP!$D$7</definedName>
    <definedName name="sugestao_investimento">APP!$D$9</definedName>
    <definedName name="Taxa_mensal">APP!$D$14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D30" i="1" s="1"/>
  <c r="C31" i="1"/>
  <c r="D31" i="1" s="1"/>
  <c r="C32" i="1"/>
  <c r="D32" i="1" s="1"/>
  <c r="C33" i="1"/>
  <c r="D33" i="1" s="1"/>
  <c r="C34" i="1"/>
  <c r="D34" i="1" s="1"/>
  <c r="C29" i="1"/>
  <c r="D29" i="1" s="1"/>
  <c r="C26" i="1"/>
  <c r="D15" i="1"/>
  <c r="D16" i="1" s="1"/>
  <c r="D9" i="1"/>
  <c r="D35" i="1" l="1"/>
  <c r="C20" i="1"/>
  <c r="D20" i="1" s="1"/>
  <c r="C21" i="1"/>
  <c r="D21" i="1" s="1"/>
  <c r="C22" i="1"/>
  <c r="D22" i="1" s="1"/>
  <c r="C23" i="1"/>
  <c r="D23" i="1" s="1"/>
  <c r="C19" i="1"/>
  <c r="D19" i="1" s="1"/>
</calcChain>
</file>

<file path=xl/sharedStrings.xml><?xml version="1.0" encoding="utf-8"?>
<sst xmlns="http://schemas.openxmlformats.org/spreadsheetml/2006/main" count="87" uniqueCount="52">
  <si>
    <t>Quanto investir por mês?</t>
  </si>
  <si>
    <t>Por quantos anos devo investir?</t>
  </si>
  <si>
    <t>Qual taxa rendimento mensal?</t>
  </si>
  <si>
    <t>Qual patrimônio acumulado terei?</t>
  </si>
  <si>
    <t>Valor dos 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</si>
  <si>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</si>
  <si>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</si>
  <si>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</si>
  <si>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</si>
  <si>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</si>
  <si>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</si>
  <si>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</si>
  <si>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</si>
  <si>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CENÁRIOS</t>
  </si>
  <si>
    <t>Dividendo</t>
  </si>
  <si>
    <t>CONFIGURAÇÕES</t>
  </si>
  <si>
    <t>AGRESSIVO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</si>
  <si>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</si>
  <si>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</si>
  <si>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</si>
  <si>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</si>
  <si>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</si>
  <si>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</si>
  <si>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</si>
  <si>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</si>
  <si>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</si>
  <si>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</si>
  <si>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</si>
  <si>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</si>
  <si>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Tipo_FII</t>
  </si>
  <si>
    <t>percent</t>
  </si>
  <si>
    <t>CP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</si>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</sst>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164" formatCode="0.000%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theme="4" tint="-0.499984740745262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8" fontId="1" fillId="3" borderId="6" xfId="0" applyNumberFormat="1" applyFont="1" applyFill="1" applyBorder="1" applyAlignment="1">
      <alignment horizontal="center" vertical="center"/>
    </xf>
    <xf numFmtId="8" fontId="1" fillId="3" borderId="9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/>
    <xf numFmtId="165" fontId="0" fillId="3" borderId="6" xfId="0" applyNumberFormat="1" applyFill="1" applyBorder="1"/>
    <xf numFmtId="165" fontId="0" fillId="3" borderId="8" xfId="0" applyNumberFormat="1" applyFill="1" applyBorder="1"/>
    <xf numFmtId="165" fontId="0" fillId="3" borderId="9" xfId="0" applyNumberFormat="1" applyFill="1" applyBorder="1"/>
    <xf numFmtId="165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65" fontId="0" fillId="3" borderId="12" xfId="0" applyNumberFormat="1" applyFill="1" applyBorder="1"/>
    <xf numFmtId="165" fontId="0" fillId="3" borderId="13" xfId="0" applyNumberFormat="1" applyFill="1" applyBorder="1"/>
    <xf numFmtId="0" fontId="2" fillId="2" borderId="16" xfId="0" applyFont="1" applyFill="1" applyBorder="1" applyAlignment="1">
      <alignment horizontal="right" vertical="center" indent="1"/>
    </xf>
    <xf numFmtId="0" fontId="5" fillId="2" borderId="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6" fillId="3" borderId="11" xfId="0" applyFont="1" applyFill="1" applyBorder="1"/>
    <xf numFmtId="0" fontId="6" fillId="3" borderId="5" xfId="0" applyFont="1" applyFill="1" applyBorder="1"/>
    <xf numFmtId="0" fontId="6" fillId="3" borderId="7" xfId="0" applyFont="1" applyFill="1" applyBorder="1"/>
    <xf numFmtId="0" fontId="5" fillId="2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165" fontId="0" fillId="3" borderId="9" xfId="0" applyNumberFormat="1" applyFill="1" applyBorder="1" applyAlignment="1">
      <alignment horizontal="center" vertical="center"/>
    </xf>
    <xf numFmtId="0" fontId="3" fillId="4" borderId="0" xfId="1"/>
    <xf numFmtId="0" fontId="0" fillId="3" borderId="0" xfId="0" applyFill="1"/>
    <xf numFmtId="165" fontId="0" fillId="3" borderId="0" xfId="0" applyNumberFormat="1" applyFill="1"/>
    <xf numFmtId="0" fontId="1" fillId="3" borderId="0" xfId="0" applyFont="1" applyFill="1"/>
    <xf numFmtId="165" fontId="1" fillId="3" borderId="0" xfId="0" applyNumberFormat="1" applyFont="1" applyFill="1" applyAlignment="1">
      <alignment horizontal="center"/>
    </xf>
    <xf numFmtId="0" fontId="8" fillId="4" borderId="0" xfId="1" applyFont="1" applyAlignment="1">
      <alignment horizontal="center"/>
    </xf>
    <xf numFmtId="0" fontId="8" fillId="4" borderId="0" xfId="1" applyFont="1" applyBorder="1"/>
    <xf numFmtId="9" fontId="0" fillId="0" borderId="0" xfId="0" applyNumberFormat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165" fontId="1" fillId="7" borderId="0" xfId="0" applyNumberFormat="1" applyFont="1" applyFill="1"/>
    <xf numFmtId="9" fontId="0" fillId="0" borderId="0" xfId="0" applyNumberFormat="1" applyAlignment="1">
      <alignment horizontal="center"/>
    </xf>
    <xf numFmtId="0" fontId="0" fillId="0" borderId="19" xfId="0" applyBorder="1"/>
    <xf numFmtId="9" fontId="0" fillId="0" borderId="19" xfId="0" applyNumberFormat="1" applyBorder="1"/>
    <xf numFmtId="0" fontId="0" fillId="0" borderId="0" xfId="0" applyFill="1" applyBorder="1"/>
    <xf numFmtId="0" fontId="0" fillId="0" borderId="19" xfId="0" applyFill="1" applyBorder="1"/>
    <xf numFmtId="9" fontId="0" fillId="0" borderId="0" xfId="0" applyNumberFormat="1" applyFill="1" applyBorder="1"/>
    <xf numFmtId="9" fontId="0" fillId="0" borderId="19" xfId="0" applyNumberFormat="1" applyFill="1" applyBorder="1"/>
    <xf numFmtId="0" fontId="4" fillId="5" borderId="0" xfId="0" applyFont="1" applyFill="1"/>
  </cellXfs>
  <cellStyles count="2">
    <cellStyle name="Neutra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58269</xdr:rowOff>
    </xdr:from>
    <xdr:to>
      <xdr:col>4</xdr:col>
      <xdr:colOff>14941</xdr:colOff>
      <xdr:row>3</xdr:row>
      <xdr:rowOff>145975</xdr:rowOff>
    </xdr:to>
    <xdr:sp macro="" textlink="">
      <xdr:nvSpPr>
        <xdr:cNvPr id="3" name="Retângulo com Único Canto Aparado 2"/>
        <xdr:cNvSpPr/>
      </xdr:nvSpPr>
      <xdr:spPr>
        <a:xfrm>
          <a:off x="149412" y="58269"/>
          <a:ext cx="5192058" cy="648000"/>
        </a:xfrm>
        <a:prstGeom prst="snip1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accent1">
                  <a:lumMod val="75000"/>
                </a:schemeClr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N</a:t>
          </a:r>
          <a:r>
            <a:rPr lang="pt-BR" sz="3600" b="1">
              <a:solidFill>
                <a:schemeClr val="lt1"/>
              </a:solidFill>
              <a:effectLst/>
              <a:latin typeface="Webdings" panose="05030102010509060703" pitchFamily="18" charset="2"/>
              <a:ea typeface="+mn-ea"/>
              <a:cs typeface="+mn-cs"/>
            </a:rPr>
            <a:t> </a:t>
          </a:r>
          <a:r>
            <a:rPr lang="pt-BR" sz="3600" b="1">
              <a:solidFill>
                <a:schemeClr val="accent1">
                  <a:lumMod val="40000"/>
                  <a:lumOff val="60000"/>
                </a:schemeClr>
              </a:solidFill>
            </a:rPr>
            <a:t>DIO</a:t>
          </a:r>
          <a:r>
            <a:rPr lang="pt-BR" sz="3600" b="1" baseline="0">
              <a:solidFill>
                <a:schemeClr val="accent1">
                  <a:lumMod val="40000"/>
                  <a:lumOff val="60000"/>
                </a:schemeClr>
              </a:solidFill>
            </a:rPr>
            <a:t> </a:t>
          </a:r>
          <a:r>
            <a:rPr lang="pt-BR" sz="3600" b="1">
              <a:solidFill>
                <a:schemeClr val="accent1">
                  <a:lumMod val="40000"/>
                  <a:lumOff val="60000"/>
                </a:schemeClr>
              </a:solidFill>
            </a:rPr>
            <a:t>INVEST</a:t>
          </a:r>
        </a:p>
      </xdr:txBody>
    </xdr:sp>
    <xdr:clientData/>
  </xdr:twoCellAnchor>
  <xdr:twoCellAnchor>
    <xdr:from>
      <xdr:col>1</xdr:col>
      <xdr:colOff>123263</xdr:colOff>
      <xdr:row>35</xdr:row>
      <xdr:rowOff>126252</xdr:rowOff>
    </xdr:from>
    <xdr:to>
      <xdr:col>4</xdr:col>
      <xdr:colOff>14941</xdr:colOff>
      <xdr:row>50</xdr:row>
      <xdr:rowOff>67982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35"/>
  <sheetViews>
    <sheetView showGridLines="0" showRowColHeaders="0" tabSelected="1" zoomScale="85" zoomScaleNormal="85" workbookViewId="0">
      <pane ySplit="4" topLeftCell="A5" activePane="bottomLeft" state="frozen"/>
      <selection pane="bottomLeft" activeCell="C25" sqref="C25"/>
    </sheetView>
  </sheetViews>
  <sheetFormatPr defaultColWidth="0" defaultRowHeight="14.5" x14ac:dyDescent="0.35"/>
  <cols>
    <col min="1" max="1" width="2.08984375" customWidth="1"/>
    <col min="2" max="2" width="37.453125" customWidth="1"/>
    <col min="3" max="3" width="17.54296875" bestFit="1" customWidth="1"/>
    <col min="4" max="4" width="19.08984375" customWidth="1"/>
    <col min="5" max="5" width="2.08984375" customWidth="1"/>
    <col min="6" max="7" width="0" hidden="1" customWidth="1"/>
    <col min="8" max="9" width="8.7265625" hidden="1" customWidth="1"/>
    <col min="10" max="16384" width="8.7265625" hidden="1"/>
  </cols>
  <sheetData>
    <row r="5" spans="2:5" ht="15" thickBot="1" x14ac:dyDescent="0.4"/>
    <row r="6" spans="2:5" ht="24" customHeight="1" x14ac:dyDescent="0.35">
      <c r="B6" s="33" t="s">
        <v>15</v>
      </c>
      <c r="C6" s="34"/>
      <c r="D6" s="35"/>
    </row>
    <row r="7" spans="2:5" ht="16.5" customHeight="1" x14ac:dyDescent="0.35">
      <c r="B7" s="29" t="s">
        <v>12</v>
      </c>
      <c r="C7" s="30"/>
      <c r="D7" s="11">
        <v>2000</v>
      </c>
    </row>
    <row r="8" spans="2:5" ht="16.5" customHeight="1" x14ac:dyDescent="0.35">
      <c r="B8" s="29" t="s">
        <v>11</v>
      </c>
      <c r="C8" s="30"/>
      <c r="D8" s="12">
        <v>6.0000000000000001E-3</v>
      </c>
    </row>
    <row r="9" spans="2:5" ht="16.5" customHeight="1" thickBot="1" x14ac:dyDescent="0.4">
      <c r="B9" s="31" t="s">
        <v>51</v>
      </c>
      <c r="C9" s="32"/>
      <c r="D9" s="36">
        <f>salario*(30/100)</f>
        <v>600</v>
      </c>
    </row>
    <row r="10" spans="2:5" ht="15" thickBot="1" x14ac:dyDescent="0.4"/>
    <row r="11" spans="2:5" ht="24" customHeight="1" x14ac:dyDescent="0.35">
      <c r="B11" s="16" t="s">
        <v>5</v>
      </c>
      <c r="C11" s="25"/>
      <c r="D11" s="22"/>
    </row>
    <row r="12" spans="2:5" s="1" customFormat="1" ht="16.5" customHeight="1" x14ac:dyDescent="0.35">
      <c r="B12" s="29" t="s">
        <v>0</v>
      </c>
      <c r="C12" s="30"/>
      <c r="D12" s="2">
        <v>200</v>
      </c>
      <c r="E12"/>
    </row>
    <row r="13" spans="2:5" s="1" customFormat="1" ht="16.5" customHeight="1" x14ac:dyDescent="0.35">
      <c r="B13" s="29" t="s">
        <v>1</v>
      </c>
      <c r="C13" s="30"/>
      <c r="D13" s="3">
        <v>5</v>
      </c>
      <c r="E13"/>
    </row>
    <row r="14" spans="2:5" s="1" customFormat="1" ht="16.5" customHeight="1" x14ac:dyDescent="0.35">
      <c r="B14" s="29" t="s">
        <v>2</v>
      </c>
      <c r="C14" s="30"/>
      <c r="D14" s="4">
        <v>1.0789999999999999E-2</v>
      </c>
      <c r="E14"/>
    </row>
    <row r="15" spans="2:5" s="1" customFormat="1" ht="16.5" customHeight="1" x14ac:dyDescent="0.35">
      <c r="B15" s="26" t="s">
        <v>3</v>
      </c>
      <c r="C15" s="24"/>
      <c r="D15" s="5">
        <f>FV(Taxa_mensal,qtd_anos*12,aporte)*-1</f>
        <v>16755.382799697527</v>
      </c>
      <c r="E15"/>
    </row>
    <row r="16" spans="2:5" s="1" customFormat="1" ht="16.5" customHeight="1" thickBot="1" x14ac:dyDescent="0.4">
      <c r="B16" s="27" t="s">
        <v>4</v>
      </c>
      <c r="C16" s="28"/>
      <c r="D16" s="6">
        <f>patrimonio*rendimento_carteira</f>
        <v>100.53229679818516</v>
      </c>
      <c r="E16"/>
    </row>
    <row r="17" spans="2:4" ht="15" thickBot="1" x14ac:dyDescent="0.4"/>
    <row r="18" spans="2:4" ht="24" customHeight="1" x14ac:dyDescent="0.35">
      <c r="B18" s="17" t="s">
        <v>13</v>
      </c>
      <c r="C18" s="18"/>
      <c r="D18" s="15" t="s">
        <v>14</v>
      </c>
    </row>
    <row r="19" spans="2:4" ht="16.5" customHeight="1" x14ac:dyDescent="0.35">
      <c r="B19" s="19" t="s">
        <v>6</v>
      </c>
      <c r="C19" s="13">
        <f>FV($D$14,MID(B19,11,2)*12,$D$12)*-1</f>
        <v>5445.5254595290435</v>
      </c>
      <c r="D19" s="14">
        <f>C19*rendimento_carteira</f>
        <v>32.673152757174265</v>
      </c>
    </row>
    <row r="20" spans="2:4" ht="16.5" customHeight="1" x14ac:dyDescent="0.35">
      <c r="B20" s="20" t="s">
        <v>7</v>
      </c>
      <c r="C20" s="7">
        <f>FV($D$14,MID(B20,11,2)*12,$D$12)*-1</f>
        <v>16755.382799697527</v>
      </c>
      <c r="D20" s="8">
        <f>C20*rendimento_carteira</f>
        <v>100.53229679818516</v>
      </c>
    </row>
    <row r="21" spans="2:4" ht="16.5" customHeight="1" x14ac:dyDescent="0.35">
      <c r="B21" s="20" t="s">
        <v>8</v>
      </c>
      <c r="C21" s="7">
        <f>FV($D$14,MID(B21,11,2)*12,$D$12)*-1</f>
        <v>48656.842506034438</v>
      </c>
      <c r="D21" s="8">
        <f>C21*rendimento_carteira</f>
        <v>291.94105503620665</v>
      </c>
    </row>
    <row r="22" spans="2:4" ht="16.5" customHeight="1" x14ac:dyDescent="0.35">
      <c r="B22" s="20" t="s">
        <v>9</v>
      </c>
      <c r="C22" s="7">
        <f>FV($D$14,MID(B22,11,2)*12,$D$12)*-1</f>
        <v>225039.68001941612</v>
      </c>
      <c r="D22" s="8">
        <f>C22*rendimento_carteira</f>
        <v>1350.2380801164968</v>
      </c>
    </row>
    <row r="23" spans="2:4" ht="16.5" customHeight="1" thickBot="1" x14ac:dyDescent="0.4">
      <c r="B23" s="21" t="s">
        <v>10</v>
      </c>
      <c r="C23" s="9">
        <f>FV($D$14,MID(B23,11,2)*12,$D$12)*-1</f>
        <v>864433.93100094295</v>
      </c>
      <c r="D23" s="10">
        <f>C23*rendimento_carteira</f>
        <v>5186.6035860056581</v>
      </c>
    </row>
    <row r="25" spans="2:4" x14ac:dyDescent="0.35">
      <c r="B25" s="43" t="s">
        <v>19</v>
      </c>
      <c r="C25" s="42" t="s">
        <v>16</v>
      </c>
      <c r="D25" s="37"/>
    </row>
    <row r="26" spans="2:4" x14ac:dyDescent="0.35">
      <c r="B26" s="40" t="s">
        <v>18</v>
      </c>
      <c r="C26" s="41">
        <f>aporte</f>
        <v>200</v>
      </c>
      <c r="D26" s="38"/>
    </row>
    <row r="28" spans="2:4" x14ac:dyDescent="0.35">
      <c r="B28" s="45" t="s">
        <v>20</v>
      </c>
      <c r="C28" s="45" t="s">
        <v>21</v>
      </c>
      <c r="D28" s="45" t="s">
        <v>22</v>
      </c>
    </row>
    <row r="29" spans="2:4" x14ac:dyDescent="0.35">
      <c r="B29" s="23" t="s">
        <v>23</v>
      </c>
      <c r="C29" s="48">
        <f>VLOOKUP(CONCATENATE($C$25,"-",B29),bd!A:D,4,0)</f>
        <v>0.5</v>
      </c>
      <c r="D29" s="39">
        <f>C29*aporte</f>
        <v>100</v>
      </c>
    </row>
    <row r="30" spans="2:4" x14ac:dyDescent="0.35">
      <c r="B30" s="23" t="s">
        <v>24</v>
      </c>
      <c r="C30" s="48">
        <f>VLOOKUP(CONCATENATE($C$25,"-",B30),bd!A:D,4,0)</f>
        <v>0.1</v>
      </c>
      <c r="D30" s="39">
        <f>C30*aporte</f>
        <v>20</v>
      </c>
    </row>
    <row r="31" spans="2:4" x14ac:dyDescent="0.35">
      <c r="B31" s="23" t="s">
        <v>25</v>
      </c>
      <c r="C31" s="48">
        <f>VLOOKUP(CONCATENATE($C$25,"-",B31),bd!A:D,4,0)</f>
        <v>0.05</v>
      </c>
      <c r="D31" s="39">
        <f>C31*aporte</f>
        <v>10</v>
      </c>
    </row>
    <row r="32" spans="2:4" x14ac:dyDescent="0.35">
      <c r="B32" s="23" t="s">
        <v>26</v>
      </c>
      <c r="C32" s="48">
        <f>VLOOKUP(CONCATENATE($C$25,"-",B32),bd!A:D,4,0)</f>
        <v>0.05</v>
      </c>
      <c r="D32" s="39">
        <f>C32*aporte</f>
        <v>10</v>
      </c>
    </row>
    <row r="33" spans="2:4" x14ac:dyDescent="0.35">
      <c r="B33" s="23" t="s">
        <v>27</v>
      </c>
      <c r="C33" s="48">
        <f>VLOOKUP(CONCATENATE($C$25,"-",B33),bd!A:D,4,0)</f>
        <v>0.2</v>
      </c>
      <c r="D33" s="39">
        <f>C33*aporte</f>
        <v>40</v>
      </c>
    </row>
    <row r="34" spans="2:4" x14ac:dyDescent="0.35">
      <c r="B34" s="23" t="s">
        <v>28</v>
      </c>
      <c r="C34" s="48">
        <f>VLOOKUP(CONCATENATE($C$25,"-",B34),bd!A:D,4,0)</f>
        <v>0.1</v>
      </c>
      <c r="D34" s="39">
        <f>C34*aporte</f>
        <v>20</v>
      </c>
    </row>
    <row r="35" spans="2:4" x14ac:dyDescent="0.35">
      <c r="B35" s="46"/>
      <c r="C35" s="46"/>
      <c r="D35" s="47">
        <f>SUM(D29:D34)</f>
        <v>200</v>
      </c>
    </row>
  </sheetData>
  <mergeCells count="11">
    <mergeCell ref="B7:C7"/>
    <mergeCell ref="B8:C8"/>
    <mergeCell ref="B9:C9"/>
    <mergeCell ref="B6:D6"/>
    <mergeCell ref="B11:C11"/>
    <mergeCell ref="B18:C18"/>
    <mergeCell ref="B12:C12"/>
    <mergeCell ref="B13:C13"/>
    <mergeCell ref="B14:C14"/>
    <mergeCell ref="B15:C15"/>
    <mergeCell ref="B16:C16"/>
  </mergeCells>
  <dataValidations count="1">
    <dataValidation type="list" allowBlank="1" showInputMessage="1" showErrorMessage="1" sqref="C25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4" sqref="A4"/>
    </sheetView>
  </sheetViews>
  <sheetFormatPr defaultRowHeight="14.5" x14ac:dyDescent="0.35"/>
  <cols>
    <col min="1" max="1" width="31.36328125" bestFit="1" customWidth="1"/>
    <col min="2" max="2" width="13.6328125" bestFit="1" customWidth="1"/>
    <col min="3" max="3" width="17.7265625" bestFit="1" customWidth="1"/>
  </cols>
  <sheetData>
    <row r="1" spans="1:4" x14ac:dyDescent="0.35">
      <c r="A1" s="55" t="s">
        <v>31</v>
      </c>
      <c r="B1" s="55" t="s">
        <v>19</v>
      </c>
      <c r="C1" s="55" t="s">
        <v>29</v>
      </c>
      <c r="D1" s="55" t="s">
        <v>30</v>
      </c>
    </row>
    <row r="2" spans="1:4" x14ac:dyDescent="0.35">
      <c r="A2" t="s">
        <v>32</v>
      </c>
      <c r="B2" t="s">
        <v>17</v>
      </c>
      <c r="C2" t="s">
        <v>23</v>
      </c>
      <c r="D2" s="44">
        <v>0.3</v>
      </c>
    </row>
    <row r="3" spans="1:4" x14ac:dyDescent="0.35">
      <c r="A3" t="s">
        <v>33</v>
      </c>
      <c r="B3" t="s">
        <v>17</v>
      </c>
      <c r="C3" t="s">
        <v>24</v>
      </c>
      <c r="D3" s="44">
        <v>0.5</v>
      </c>
    </row>
    <row r="4" spans="1:4" x14ac:dyDescent="0.35">
      <c r="A4" t="s">
        <v>34</v>
      </c>
      <c r="B4" t="s">
        <v>17</v>
      </c>
      <c r="C4" t="s">
        <v>25</v>
      </c>
      <c r="D4" s="44">
        <v>0.1</v>
      </c>
    </row>
    <row r="5" spans="1:4" x14ac:dyDescent="0.35">
      <c r="A5" t="s">
        <v>35</v>
      </c>
      <c r="B5" t="s">
        <v>17</v>
      </c>
      <c r="C5" t="s">
        <v>26</v>
      </c>
      <c r="D5" s="44">
        <v>0.1</v>
      </c>
    </row>
    <row r="6" spans="1:4" x14ac:dyDescent="0.35">
      <c r="A6" t="s">
        <v>36</v>
      </c>
      <c r="B6" t="s">
        <v>17</v>
      </c>
      <c r="C6" t="s">
        <v>27</v>
      </c>
      <c r="D6" s="44">
        <v>0</v>
      </c>
    </row>
    <row r="7" spans="1:4" ht="15" thickBot="1" x14ac:dyDescent="0.4">
      <c r="A7" s="49" t="s">
        <v>37</v>
      </c>
      <c r="B7" s="49" t="s">
        <v>17</v>
      </c>
      <c r="C7" s="49" t="s">
        <v>28</v>
      </c>
      <c r="D7" s="50">
        <v>0</v>
      </c>
    </row>
    <row r="8" spans="1:4" x14ac:dyDescent="0.35">
      <c r="A8" t="s">
        <v>39</v>
      </c>
      <c r="B8" t="s">
        <v>38</v>
      </c>
      <c r="C8" t="s">
        <v>23</v>
      </c>
      <c r="D8" s="53">
        <v>0.32</v>
      </c>
    </row>
    <row r="9" spans="1:4" x14ac:dyDescent="0.35">
      <c r="A9" t="s">
        <v>40</v>
      </c>
      <c r="B9" t="s">
        <v>38</v>
      </c>
      <c r="C9" t="s">
        <v>24</v>
      </c>
      <c r="D9" s="53">
        <v>0.35</v>
      </c>
    </row>
    <row r="10" spans="1:4" x14ac:dyDescent="0.35">
      <c r="A10" t="s">
        <v>41</v>
      </c>
      <c r="B10" t="s">
        <v>38</v>
      </c>
      <c r="C10" t="s">
        <v>25</v>
      </c>
      <c r="D10" s="53">
        <v>0.08</v>
      </c>
    </row>
    <row r="11" spans="1:4" x14ac:dyDescent="0.35">
      <c r="A11" t="s">
        <v>42</v>
      </c>
      <c r="B11" t="s">
        <v>38</v>
      </c>
      <c r="C11" t="s">
        <v>26</v>
      </c>
      <c r="D11" s="53">
        <v>0.05</v>
      </c>
    </row>
    <row r="12" spans="1:4" x14ac:dyDescent="0.35">
      <c r="A12" t="s">
        <v>43</v>
      </c>
      <c r="B12" t="s">
        <v>38</v>
      </c>
      <c r="C12" t="s">
        <v>27</v>
      </c>
      <c r="D12" s="53">
        <v>0.1</v>
      </c>
    </row>
    <row r="13" spans="1:4" ht="15" thickBot="1" x14ac:dyDescent="0.4">
      <c r="A13" s="49" t="s">
        <v>44</v>
      </c>
      <c r="B13" s="49" t="s">
        <v>38</v>
      </c>
      <c r="C13" s="49" t="s">
        <v>28</v>
      </c>
      <c r="D13" s="54">
        <v>0.1</v>
      </c>
    </row>
    <row r="14" spans="1:4" x14ac:dyDescent="0.35">
      <c r="A14" t="s">
        <v>45</v>
      </c>
      <c r="B14" s="51" t="s">
        <v>16</v>
      </c>
      <c r="C14" t="s">
        <v>23</v>
      </c>
      <c r="D14" s="44">
        <v>0.5</v>
      </c>
    </row>
    <row r="15" spans="1:4" x14ac:dyDescent="0.35">
      <c r="A15" t="s">
        <v>46</v>
      </c>
      <c r="B15" s="51" t="s">
        <v>16</v>
      </c>
      <c r="C15" t="s">
        <v>24</v>
      </c>
      <c r="D15" s="44">
        <v>0.1</v>
      </c>
    </row>
    <row r="16" spans="1:4" x14ac:dyDescent="0.35">
      <c r="A16" t="s">
        <v>47</v>
      </c>
      <c r="B16" s="51" t="s">
        <v>16</v>
      </c>
      <c r="C16" t="s">
        <v>25</v>
      </c>
      <c r="D16" s="44">
        <v>0.05</v>
      </c>
    </row>
    <row r="17" spans="1:4" x14ac:dyDescent="0.35">
      <c r="A17" t="s">
        <v>48</v>
      </c>
      <c r="B17" s="51" t="s">
        <v>16</v>
      </c>
      <c r="C17" t="s">
        <v>26</v>
      </c>
      <c r="D17" s="44">
        <v>0.05</v>
      </c>
    </row>
    <row r="18" spans="1:4" x14ac:dyDescent="0.35">
      <c r="A18" t="s">
        <v>49</v>
      </c>
      <c r="B18" s="51" t="s">
        <v>16</v>
      </c>
      <c r="C18" t="s">
        <v>27</v>
      </c>
      <c r="D18" s="44">
        <v>0.2</v>
      </c>
    </row>
    <row r="19" spans="1:4" ht="15" thickBot="1" x14ac:dyDescent="0.4">
      <c r="A19" s="49" t="s">
        <v>50</v>
      </c>
      <c r="B19" s="52" t="s">
        <v>16</v>
      </c>
      <c r="C19" s="49" t="s">
        <v>28</v>
      </c>
      <c r="D19" s="50">
        <v>0.1</v>
      </c>
    </row>
    <row r="20" spans="1:4" x14ac:dyDescent="0.35">
      <c r="B20" s="5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bd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>Embratel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COUTINHO MALASPINA EZEQUIC</dc:creator>
  <cp:lastModifiedBy>EZEQUIEL COUTINHO MALASPINA EZEQUIC</cp:lastModifiedBy>
  <dcterms:created xsi:type="dcterms:W3CDTF">2026-01-12T02:15:23Z</dcterms:created>
  <dcterms:modified xsi:type="dcterms:W3CDTF">2026-01-13T01:07:52Z</dcterms:modified>
</cp:coreProperties>
</file>